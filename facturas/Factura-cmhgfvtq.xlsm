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Ilse T.N.Q.N" sheetId="1" r:id="rId1"/>
    <sheet name="Cristina T.N.Q.N" sheetId="2" r:id="rId2"/>
    <sheet name="Formato" sheetId="3" r:id="rId3"/>
    <sheet name="Hoja2" sheetId="4" r:id="rId4" state="hidden"/>
    <sheet name="Hoja3" sheetId="5" r:id="rId5" state="hidden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5">
    <numFmt numFmtId="56" formatCode="&quot;上午/下午 &quot;hh&quot;時&quot;mm&quot;分&quot;ss&quot;秒 &quot;"/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</row>
    <row r="9">
      <c r="A9" t="str">
        <v>CODIGO:</v>
      </c>
    </row>
    <row r="10">
      <c r="A10" t="str">
        <v>NOMBRE:</v>
      </c>
      <c r="E10" t="str">
        <v>PLAZO DE PAGO</v>
      </c>
    </row>
    <row r="11">
      <c r="A11" t="str">
        <v>DIRECCIÓN:</v>
      </c>
    </row>
    <row r="12">
      <c r="A12" t="str">
        <v>C.P.:</v>
      </c>
      <c r="E12" t="str">
        <v>MONEDA</v>
      </c>
    </row>
    <row r="13">
      <c r="A13" t="str">
        <v>R.F.C./CURP:</v>
      </c>
    </row>
    <row r="14">
      <c r="A14" t="str">
        <v>TEL / CEL.:</v>
      </c>
      <c r="E14" t="str">
        <v>VENDEDOR:</v>
      </c>
    </row>
    <row r="15" xml:space="preserve">
      <c r="A15" t="str" xml:space="preserve">
        <v xml:space="preserve">DIRECCIÓN 
DE ENTREGA: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0</v>
      </c>
    </row>
    <row r="29">
      <c r="E29" t="str">
        <v>IVA</v>
      </c>
    </row>
    <row r="30">
      <c r="E30" t="str">
        <v>TOTAL</v>
      </c>
      <c r="F30">
        <f>F28</f>
        <v>0</v>
      </c>
    </row>
    <row r="32">
      <c r="D32" t="str">
        <v>PAGARÉ</v>
      </c>
      <c r="E32" t="str">
        <v>BUENO POR:</v>
      </c>
      <c r="F32">
        <f>F30</f>
        <v>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s="1">
        <v>1007</v>
      </c>
      <c r="F3">
        <v>2025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06 de octubre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B9" t="str">
        <v>#0001</v>
      </c>
      <c r="E9" t="str">
        <v>Transferencia/Efectivo/Depósito</v>
      </c>
    </row>
    <row r="10">
      <c r="A10" t="str">
        <v>NOMBRE:</v>
      </c>
      <c r="B10" t="str">
        <v>Cristina Patricio Maria</v>
      </c>
      <c r="E10" t="str">
        <v>PLAZO DE PAGO</v>
      </c>
    </row>
    <row r="11">
      <c r="A11" t="str">
        <v>DIRECCIÓN:</v>
      </c>
      <c r="B11" t="str">
        <v>C Peñasco De Manzanares 507, Col Parque Manzanares, León, Guanajuato</v>
      </c>
      <c r="E11" t="str">
        <v>3 días</v>
      </c>
    </row>
    <row r="12">
      <c r="A12" t="str">
        <v>C.P.:</v>
      </c>
      <c r="B12">
        <v>37510</v>
      </c>
      <c r="E12" t="str">
        <v>MONEDA</v>
      </c>
    </row>
    <row r="13">
      <c r="A13" t="str">
        <v>R.F.C./CURP:</v>
      </c>
      <c r="B13" t="str">
        <v>PAMC721124MOCTRR08</v>
      </c>
      <c r="E13" t="str">
        <v>M.N. MXN</v>
      </c>
    </row>
    <row r="14">
      <c r="A14" t="str">
        <v>TEL / CEL.:</v>
      </c>
      <c r="B14">
        <v>524778522120</v>
      </c>
      <c r="E14" t="str">
        <v>VENDEDOR:</v>
      </c>
    </row>
    <row r="15" xml:space="preserve">
      <c r="A15" t="str" xml:space="preserve">
        <v xml:space="preserve">DIRECCIÓN 
DE ENTREGA:</v>
      </c>
      <c r="B15" t="str">
        <v>Blvrd Francisco Villa 1104, Villa de Las Flores, Villa de las Flores, 37278 León de los Aldama, Gto.</v>
      </c>
      <c r="E15" t="str">
        <v xml:space="preserve">Oscar Pantoja 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343.85</v>
      </c>
      <c r="B18" t="str">
        <v>#0004</v>
      </c>
      <c r="C18" t="str">
        <v>Kg</v>
      </c>
      <c r="D18" t="str">
        <v>Pierna Cerdo Fresca S/H (Alto Vacio)</v>
      </c>
      <c r="E18">
        <v>87</v>
      </c>
      <c r="F18">
        <f>E18*A18</f>
        <v>29914.95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29914.95</v>
      </c>
    </row>
    <row r="29">
      <c r="E29" t="str">
        <v>IVA</v>
      </c>
    </row>
    <row r="30">
      <c r="E30" t="str">
        <v>TOTAL</v>
      </c>
      <c r="F30">
        <f>F28</f>
        <v>29914.95</v>
      </c>
    </row>
    <row r="32">
      <c r="D32" t="str">
        <v>PAGARÉ</v>
      </c>
      <c r="E32" t="str">
        <v>BUENO POR:</v>
      </c>
      <c r="F32">
        <f>F30</f>
        <v>29914.95</v>
      </c>
    </row>
    <row r="33">
      <c r="B33" t="str">
        <f>"En "&amp;E5&amp;TEXT(E3," dd ""de"" mmmm")&amp;" del "&amp;F3</f>
        <v>En Cuerámaro, Guanajuato 03 de octubre del 2025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06 de octubre  del lunes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>Cristina Patricio Maria</v>
      </c>
    </row>
    <row r="44">
      <c r="A44" t="str">
        <v>Domicilio:</v>
      </c>
      <c r="B44" t="str">
        <f>B11</f>
        <v>C Peñasco De Manzanares 507, Col Parque Manzanares, León, Guanajuato</v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t="str">
        <v>01 de noviembre de 2025</v>
      </c>
    </row>
    <row r="4">
      <c r="C4" t="str">
        <v>CP: 36960</v>
      </c>
      <c r="E4" t="str">
        <v>EXPEDIDA EN:</v>
      </c>
      <c r="F4" t="str">
        <v>Cuerámaro, Guanajuato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  <c r="F8" t="str">
        <v>Pago de contado</v>
      </c>
    </row>
    <row r="9">
      <c r="A9" t="str">
        <v>CODIGO:</v>
      </c>
      <c r="B9">
        <v>35</v>
      </c>
    </row>
    <row r="10">
      <c r="A10" t="str">
        <v>NOMBRE:</v>
      </c>
      <c r="B10" t="str">
        <v>Alejandra Cano</v>
      </c>
      <c r="E10" t="str">
        <v>PLAZO DE PAGO</v>
      </c>
      <c r="F10" t="str">
        <v>Contado</v>
      </c>
    </row>
    <row r="11">
      <c r="A11" t="str">
        <v>DIRECCIÓN:</v>
      </c>
      <c r="B11" t="str">
        <v>N/D</v>
      </c>
    </row>
    <row r="12">
      <c r="A12" t="str">
        <v>C.P.:</v>
      </c>
      <c r="E12" t="str">
        <v>MONEDA</v>
      </c>
      <c r="F12" t="str">
        <v>M.N. MXN</v>
      </c>
    </row>
    <row r="13">
      <c r="A13" t="str">
        <v>R.F.C.:</v>
      </c>
    </row>
    <row r="14">
      <c r="A14" t="str">
        <v>TEL / CEL.:</v>
      </c>
      <c r="B14" t="str">
        <v>462-555-1031</v>
      </c>
      <c r="E14" t="str">
        <v>VENDEDOR:</v>
      </c>
      <c r="F14" t="str">
        <v>Admin</v>
      </c>
    </row>
    <row r="15" xml:space="preserve">
      <c r="A15" t="str" xml:space="preserve">
        <v xml:space="preserve">DIRECCIÓN 
DE ENTREGA:</v>
      </c>
      <c r="B15" t="str">
        <v>N/D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1</v>
      </c>
      <c r="B18" t="str">
        <v>cmhgfun6t003hd2uzw8oso3n0</v>
      </c>
      <c r="C18" t="str">
        <v>kg</v>
      </c>
      <c r="D18" t="str">
        <v>Caña (S/H)</v>
      </c>
      <c r="E18">
        <v>170</v>
      </c>
      <c r="F18">
        <v>170</v>
      </c>
    </row>
    <row r="28">
      <c r="C28" t="str">
        <v>IMPORTE CON LETRA:</v>
      </c>
      <c r="D28" t="str">
        <v>ciento setenta pesos 00/100 M.N.</v>
      </c>
      <c r="E28" t="str">
        <v>SUBTOTAL</v>
      </c>
      <c r="F28">
        <v>170</v>
      </c>
    </row>
    <row r="29">
      <c r="E29" t="str">
        <v>IVA</v>
      </c>
    </row>
    <row r="30">
      <c r="E30" t="str">
        <v>TOTAL</v>
      </c>
      <c r="F30">
        <v>170</v>
      </c>
    </row>
    <row r="32">
      <c r="D32" t="str">
        <v>PAGARÉ</v>
      </c>
      <c r="E32" t="str">
        <v>BUENO POR:</v>
      </c>
      <c r="F32">
        <v>170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Ilse T.N.Q.N</vt:lpstr>
      <vt:lpstr>Cristina T.N.Q.N</vt:lpstr>
      <vt:lpstr>Formato</vt:lpstr>
      <vt:lpstr>Hoja2</vt:lpstr>
      <vt:lpstr>Hoja3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