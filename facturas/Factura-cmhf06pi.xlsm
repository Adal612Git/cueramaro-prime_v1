
<file path=[Content_Types].xml><?xml version="1.0" encoding="utf-8"?>
<Types xmlns="http://schemas.openxmlformats.org/package/2006/content-types" xmlns:xsd="http://www.w3.org/2001/XMLSchema" xmlns:xsi="http://www.w3.org/2001/XMLSchema-instance">
  <Default Extension="xml" ContentType="application/xml"/>
  <Default Extension="bin" ContentType="application/vnd.ms-excel.sheet.binary.macroEnabled.main"/>
  <Default Extension="vml" ContentType="application/vnd.openxmlformats-officedocument.vmlDrawing"/>
  <Default Extension="data" ContentType="application/vnd.openxmlformats-officedocument.model+data"/>
  <Default Extension="bmp" ContentType="image/bmp"/>
  <Default Extension="png" ContentType="image/png"/>
  <Default Extension="gif" ContentType="image/gif"/>
  <Default Extension="emf" ContentType="image/x-emf"/>
  <Default Extension="wmf" ContentType="image/x-wmf"/>
  <Default Extension="jpg" ContentType="image/jpeg"/>
  <Default Extension="jpeg" ContentType="image/jpeg"/>
  <Default Extension="tif" ContentType="image/tiff"/>
  <Default Extension="tiff" ContentType="image/tiff"/>
  <Default Extension="pdf" ContentType="application/pdf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.xml" ContentType="application/vnd.openxmlformats-officedocument.spreadsheetml.sheetMetadata+xml"/>
</Types>
</file>

<file path=_rels/.rels><?xml version="1.0" encoding="UTF-8" standalone="yes"?>
<Relationships xmlns="http://schemas.openxmlformats.org/package/2006/relationships"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workbookPr codeName="ThisWorkbook"/>
  <sheets>
    <sheet name="Ilse T.N.Q.N" sheetId="1" r:id="rId1"/>
    <sheet name="Cristina T.N.Q.N" sheetId="2" r:id="rId2"/>
    <sheet name="Formato" sheetId="3" r:id="rId3"/>
    <sheet name="Hoja2" sheetId="4" r:id="rId4" state="hidden"/>
    <sheet name="Hoja3" sheetId="5" r:id="rId5" state="hidden"/>
  </sheets>
</workbook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tyles.xml><?xml version="1.0" encoding="utf-8"?>
<styleSheet xmlns="http://schemas.openxmlformats.org/spreadsheetml/2006/main" xmlns:vt="http://schemas.openxmlformats.org/officeDocument/2006/docPropsVTypes">
  <numFmts count="5">
    <numFmt numFmtId="56" formatCode="&quot;上午/下午 &quot;hh&quot;時&quot;mm&quot;分&quot;ss&quot;秒 &quot;"/>
    <numFmt numFmtId="164" formatCode="dd\ &quot;de&quot;\ mmmm"/>
    <numFmt numFmtId="165" formatCode="D/M/YYYY"/>
    <numFmt numFmtId="166" formatCode="_-&quot;$&quot;* #,##0.00_-;\-&quot;$&quot;* #,##0.00_-;_-&quot;$&quot;* &quot;-&quot;??_-;_-@"/>
    <numFmt numFmtId="167" formatCode="_-[$$-80A]* #,##0.00_-;\-[$$-80A]* #,##0.00_-;_-[$$-80A]* &quot;-&quot;??_-;_-@"/>
  </numFmts>
  <fonts count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 applyNumberFormat="1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F1000"/>
  <sheetViews>
    <sheetView workbookViewId="0" rightToLeft="0"/>
  </sheetViews>
  <sheetData>
    <row r="1">
      <c r="C1" t="str">
        <v>CARNICERÍA CUERÁMARO PRIME</v>
      </c>
      <c r="E1" t="str">
        <v>NOTA DE VENTA</v>
      </c>
    </row>
    <row r="2">
      <c r="C2" t="str">
        <v>CUERÁMARO, GUANAJUATO, MÉXICO</v>
      </c>
      <c r="E2" t="str">
        <v>FECHA</v>
      </c>
      <c r="F2" t="str">
        <v>AÑO</v>
      </c>
    </row>
    <row r="3">
      <c r="C3" t="str">
        <v>Colonia Cueramaro Centro</v>
      </c>
    </row>
    <row r="4">
      <c r="C4" t="str">
        <v>CP: 36960</v>
      </c>
      <c r="E4" t="str">
        <v>EXPEDIDA EN:</v>
      </c>
    </row>
    <row r="6">
      <c r="E6" t="str">
        <v>FECHA DE VENCIMIENTO</v>
      </c>
    </row>
    <row r="8">
      <c r="A8" t="str">
        <v>DATOS DEL CLIENTE</v>
      </c>
      <c r="E8" t="str">
        <v>METODO DE PAGO</v>
      </c>
    </row>
    <row r="9">
      <c r="A9" t="str">
        <v>CODIGO:</v>
      </c>
    </row>
    <row r="10">
      <c r="A10" t="str">
        <v>NOMBRE:</v>
      </c>
      <c r="E10" t="str">
        <v>PLAZO DE PAGO</v>
      </c>
    </row>
    <row r="11">
      <c r="A11" t="str">
        <v>DIRECCIÓN:</v>
      </c>
    </row>
    <row r="12">
      <c r="A12" t="str">
        <v>C.P.:</v>
      </c>
      <c r="E12" t="str">
        <v>MONEDA</v>
      </c>
    </row>
    <row r="13">
      <c r="A13" t="str">
        <v>R.F.C./CURP:</v>
      </c>
    </row>
    <row r="14">
      <c r="A14" t="str">
        <v>TEL / CEL.:</v>
      </c>
      <c r="E14" t="str">
        <v>VENDEDOR:</v>
      </c>
    </row>
    <row r="15" xml:space="preserve">
      <c r="A15" t="str" xml:space="preserve">
        <v xml:space="preserve">DIRECCIÓN 
DE ENTREGA:</v>
      </c>
    </row>
    <row r="17">
      <c r="A17" t="str">
        <v>CANTIDAD</v>
      </c>
      <c r="B17" t="str">
        <v>CODIGO</v>
      </c>
      <c r="C17" t="str">
        <v>U.M.</v>
      </c>
      <c r="D17" t="str">
        <v>DESCRIPCIÓN</v>
      </c>
      <c r="E17" t="str">
        <v>PRECIO</v>
      </c>
      <c r="F17" t="str">
        <v>IMPORTE</v>
      </c>
    </row>
    <row r="19">
      <c r="F19">
        <f>E19*A19</f>
        <v>0</v>
      </c>
    </row>
    <row r="20">
      <c r="F20">
        <f>E20*A20</f>
        <v>0</v>
      </c>
    </row>
    <row r="21">
      <c r="F21">
        <f>E21*A21</f>
        <v>0</v>
      </c>
    </row>
    <row r="22">
      <c r="F22">
        <f>E22*A22</f>
        <v>0</v>
      </c>
    </row>
    <row r="23">
      <c r="F23">
        <f>E23*A23</f>
        <v>0</v>
      </c>
    </row>
    <row r="24">
      <c r="F24">
        <f>E24*A24</f>
        <v>0</v>
      </c>
    </row>
    <row r="25">
      <c r="F25">
        <f>E25*A25</f>
        <v>0</v>
      </c>
    </row>
    <row r="26">
      <c r="F26">
        <f>E26*A26</f>
        <v>0</v>
      </c>
    </row>
    <row r="27">
      <c r="F27">
        <f>E27*A27</f>
        <v>0</v>
      </c>
    </row>
    <row r="28">
      <c r="C28" t="str">
        <v>IMPORTE CON LETRA:</v>
      </c>
      <c r="D28" t="str">
        <f t="array" ref="D28">cMoneda(F30)</f>
        <v>#NAME?</v>
      </c>
      <c r="E28" t="str">
        <v>SUBTOTAL</v>
      </c>
      <c r="F28">
        <f>SUM(F18:F27)</f>
        <v>0</v>
      </c>
    </row>
    <row r="29">
      <c r="E29" t="str">
        <v>IVA</v>
      </c>
    </row>
    <row r="30">
      <c r="E30" t="str">
        <v>TOTAL</v>
      </c>
      <c r="F30">
        <f>F28</f>
        <v>0</v>
      </c>
    </row>
    <row r="32">
      <c r="D32" t="str">
        <v>PAGARÉ</v>
      </c>
      <c r="E32" t="str">
        <v>BUENO POR:</v>
      </c>
      <c r="F32">
        <f>F30</f>
        <v>0</v>
      </c>
    </row>
    <row r="33">
      <c r="B33" t="str">
        <f>"En "&amp;E5&amp;TEXT(E3," dd ""de"" mmmm")&amp;" del "&amp;F3</f>
        <v xml:space="preserve">En  30 de diciembre del </v>
      </c>
    </row>
    <row r="34">
      <c r="A34" t="str">
        <v>Debo y pagaré incondicionalmente por este pagaré a la orden de Francisco Javier Pantoja Rangel</v>
      </c>
    </row>
    <row r="35">
      <c r="A35" t="str">
        <f>"en Cuerámaro, Guanajuato el "&amp;TEXT(E7,"dd ""de"" mmmm  ""del"" aaaa")</f>
        <v>en Cuerámaro, Guanajuato el 30 de diciembre  del sábado</v>
      </c>
    </row>
    <row r="36">
      <c r="A36" t="str">
        <f t="array" ref="A36">"La Cantidad  de: " &amp;TEXT(F32,"$ ###,##0.00")&amp;"("&amp;cMoneda(F32)&amp;")"</f>
        <v>#NAME?</v>
      </c>
    </row>
    <row r="37">
      <c r="A37" t="str">
        <v>Valor recibido a mi entera satisfacción. Este pagaré es mercantil y está regido por la ley general de títulos y operaciones</v>
      </c>
    </row>
    <row r="38">
      <c r="A38" t="str">
        <v xml:space="preserve">de crédito en sus artículos 170 , 171, 172 y demás relativos, y todos están sujetos a la condición de que, </v>
      </c>
    </row>
    <row r="39">
      <c r="A39" t="str">
        <v>al no pagarse cualquiera de ellos a su vencimiento, serán exigibles todos los que les sigan en número,</v>
      </c>
    </row>
    <row r="40">
      <c r="A40" t="str">
        <v xml:space="preserve"> además de ya vencidos,  desde la fecha de vencimiento de este documento hasta el día de su liquidación, </v>
      </c>
    </row>
    <row r="41">
      <c r="A41" t="str">
        <v>causara intereses moratorios al tipo de 3 % mensual, pagadero en este ciudad juntamente con el principal.</v>
      </c>
    </row>
    <row r="43">
      <c r="A43" t="str">
        <v>Nombre:</v>
      </c>
      <c r="B43" t="str">
        <f>B10</f>
        <v/>
      </c>
    </row>
    <row r="44">
      <c r="A44" t="str">
        <v>Domicilio:</v>
      </c>
      <c r="B44" t="str">
        <f>B11</f>
        <v/>
      </c>
    </row>
    <row r="45">
      <c r="A45" t="str">
        <v>Ciudad:</v>
      </c>
      <c r="B45" t="str">
        <v>León, Guanajuato, México</v>
      </c>
    </row>
    <row r="46">
      <c r="D46" t="str">
        <v>Nombre y Firma ________________________________________________________</v>
      </c>
    </row>
    <row r="47">
      <c r="D47" t="str">
        <v>Acepto y pagaré a su vencimiento</v>
      </c>
    </row>
    <row r="49">
      <c r="A49" t="str">
        <f>"Este pagaré se suscribe en la ciudad de Cuerámaro, Guanajuato el día " &amp;DAY(E3) &amp; " del mes de "&amp;TEXT(E3,"mmmm") &amp;" del año "&amp;F3</f>
        <v xml:space="preserve">Este pagaré se suscribe en la ciudad de Cuerámaro, Guanajuato el día 30 del mes de diciembre del año </v>
      </c>
    </row>
  </sheetData>
  <mergeCells count="32">
    <mergeCell ref="C1:D1"/>
    <mergeCell ref="E1:F1"/>
    <mergeCell ref="C2:D2"/>
    <mergeCell ref="C3:D3"/>
    <mergeCell ref="C4:D4"/>
    <mergeCell ref="E4:F4"/>
    <mergeCell ref="E5:F5"/>
    <mergeCell ref="E6:F6"/>
    <mergeCell ref="E7:F7"/>
    <mergeCell ref="A8:D8"/>
    <mergeCell ref="E8:F8"/>
    <mergeCell ref="B9:D9"/>
    <mergeCell ref="E9:F9"/>
    <mergeCell ref="E10:F10"/>
    <mergeCell ref="B10:D10"/>
    <mergeCell ref="B11:D11"/>
    <mergeCell ref="E11:F11"/>
    <mergeCell ref="B12:D12"/>
    <mergeCell ref="E12:F12"/>
    <mergeCell ref="B13:D13"/>
    <mergeCell ref="E13:F13"/>
    <mergeCell ref="B44:F44"/>
    <mergeCell ref="B45:F45"/>
    <mergeCell ref="D46:F46"/>
    <mergeCell ref="D47:F47"/>
    <mergeCell ref="B14:D14"/>
    <mergeCell ref="E14:F14"/>
    <mergeCell ref="B15:D15"/>
    <mergeCell ref="E15:F15"/>
    <mergeCell ref="C28:C29"/>
    <mergeCell ref="D28:D29"/>
    <mergeCell ref="B43:F43"/>
  </mergeCells>
  <pageMargins left="0.25" right="0.25" top="0.2671875" bottom="0.178125" header="0" footer="0"/>
  <ignoredErrors>
    <ignoredError numberStoredAsText="1" sqref="A1:F1000"/>
  </ignoredErrors>
</worksheet>
</file>

<file path=xl/worksheets/sheet2.xml><?xml version="1.0" encoding="utf-8"?>
<worksheet xmlns="http://schemas.openxmlformats.org/spreadsheetml/2006/main" xmlns:r="http://schemas.openxmlformats.org/officeDocument/2006/relationships">
  <dimension ref="A1:F1000"/>
  <sheetViews>
    <sheetView workbookViewId="0" rightToLeft="0"/>
  </sheetViews>
  <sheetData>
    <row r="1">
      <c r="C1" t="str">
        <v>CARNICERÍA CUERÁMARO PRIME</v>
      </c>
      <c r="E1" t="str">
        <v>NOTA DE VENTA</v>
      </c>
    </row>
    <row r="2">
      <c r="C2" t="str">
        <v>CUERÁMARO, GUANAJUATO, MÉXICO</v>
      </c>
      <c r="E2" t="str">
        <v>FECHA</v>
      </c>
      <c r="F2" t="str">
        <v>AÑO</v>
      </c>
    </row>
    <row r="3">
      <c r="C3" t="str">
        <v>Colonia Cueramaro Centro</v>
      </c>
      <c r="E3" s="1">
        <v>1007</v>
      </c>
      <c r="F3">
        <v>2025</v>
      </c>
    </row>
    <row r="4">
      <c r="C4" t="str">
        <v>CP: 36960</v>
      </c>
      <c r="E4" t="str">
        <v>EXPEDIDA EN:</v>
      </c>
    </row>
    <row r="5">
      <c r="E5" t="str">
        <v>Cuerámaro, Guanajuato</v>
      </c>
    </row>
    <row r="6">
      <c r="E6" t="str">
        <v>FECHA DE VENCIMIENTO</v>
      </c>
    </row>
    <row r="7">
      <c r="E7" t="str">
        <v>06 de octubre 2025</v>
      </c>
    </row>
    <row r="8">
      <c r="A8" t="str">
        <v>DATOS DEL CLIENTE</v>
      </c>
      <c r="E8" t="str">
        <v>METODO DE PAGO</v>
      </c>
    </row>
    <row r="9">
      <c r="A9" t="str">
        <v>CODIGO:</v>
      </c>
      <c r="B9" t="str">
        <v>#0001</v>
      </c>
      <c r="E9" t="str">
        <v>Transferencia/Efectivo/Depósito</v>
      </c>
    </row>
    <row r="10">
      <c r="A10" t="str">
        <v>NOMBRE:</v>
      </c>
      <c r="B10" t="str">
        <v>Cristina Patricio Maria</v>
      </c>
      <c r="E10" t="str">
        <v>PLAZO DE PAGO</v>
      </c>
    </row>
    <row r="11">
      <c r="A11" t="str">
        <v>DIRECCIÓN:</v>
      </c>
      <c r="B11" t="str">
        <v>C Peñasco De Manzanares 507, Col Parque Manzanares, León, Guanajuato</v>
      </c>
      <c r="E11" t="str">
        <v>3 días</v>
      </c>
    </row>
    <row r="12">
      <c r="A12" t="str">
        <v>C.P.:</v>
      </c>
      <c r="B12">
        <v>37510</v>
      </c>
      <c r="E12" t="str">
        <v>MONEDA</v>
      </c>
    </row>
    <row r="13">
      <c r="A13" t="str">
        <v>R.F.C./CURP:</v>
      </c>
      <c r="B13" t="str">
        <v>PAMC721124MOCTRR08</v>
      </c>
      <c r="E13" t="str">
        <v>M.N. MXN</v>
      </c>
    </row>
    <row r="14">
      <c r="A14" t="str">
        <v>TEL / CEL.:</v>
      </c>
      <c r="B14">
        <v>524778522120</v>
      </c>
      <c r="E14" t="str">
        <v>VENDEDOR:</v>
      </c>
    </row>
    <row r="15" xml:space="preserve">
      <c r="A15" t="str" xml:space="preserve">
        <v xml:space="preserve">DIRECCIÓN 
DE ENTREGA:</v>
      </c>
      <c r="B15" t="str">
        <v>Blvrd Francisco Villa 1104, Villa de Las Flores, Villa de las Flores, 37278 León de los Aldama, Gto.</v>
      </c>
      <c r="E15" t="str">
        <v xml:space="preserve">Oscar Pantoja </v>
      </c>
    </row>
    <row r="17">
      <c r="A17" t="str">
        <v>CANTIDAD</v>
      </c>
      <c r="B17" t="str">
        <v>CODIGO</v>
      </c>
      <c r="C17" t="str">
        <v>U.M.</v>
      </c>
      <c r="D17" t="str">
        <v>DESCRIPCIÓN</v>
      </c>
      <c r="E17" t="str">
        <v>PRECIO</v>
      </c>
      <c r="F17" t="str">
        <v>IMPORTE</v>
      </c>
    </row>
    <row r="18">
      <c r="A18">
        <v>343.85</v>
      </c>
      <c r="B18" t="str">
        <v>#0004</v>
      </c>
      <c r="C18" t="str">
        <v>Kg</v>
      </c>
      <c r="D18" t="str">
        <v>Pierna Cerdo Fresca S/H (Alto Vacio)</v>
      </c>
      <c r="E18">
        <v>87</v>
      </c>
      <c r="F18">
        <f>E18*A18</f>
        <v>29914.95</v>
      </c>
    </row>
    <row r="19">
      <c r="F19">
        <f>E19*A19</f>
        <v>0</v>
      </c>
    </row>
    <row r="20">
      <c r="F20">
        <f>E20*A20</f>
        <v>0</v>
      </c>
    </row>
    <row r="21">
      <c r="F21">
        <f>E21*A21</f>
        <v>0</v>
      </c>
    </row>
    <row r="22">
      <c r="F22">
        <f>E22*A22</f>
        <v>0</v>
      </c>
    </row>
    <row r="23">
      <c r="F23">
        <f>E23*A23</f>
        <v>0</v>
      </c>
    </row>
    <row r="24">
      <c r="F24">
        <f>E24*A24</f>
        <v>0</v>
      </c>
    </row>
    <row r="25">
      <c r="F25">
        <f>E25*A25</f>
        <v>0</v>
      </c>
    </row>
    <row r="26">
      <c r="F26">
        <f>E26*A26</f>
        <v>0</v>
      </c>
    </row>
    <row r="27">
      <c r="F27">
        <f>E27*A27</f>
        <v>0</v>
      </c>
    </row>
    <row r="28">
      <c r="C28" t="str">
        <v>IMPORTE CON LETRA:</v>
      </c>
      <c r="D28" t="str">
        <f t="array" ref="D28">cMoneda(F30)</f>
        <v>#NAME?</v>
      </c>
      <c r="E28" t="str">
        <v>SUBTOTAL</v>
      </c>
      <c r="F28">
        <f>SUM(F18:F27)</f>
        <v>29914.95</v>
      </c>
    </row>
    <row r="29">
      <c r="E29" t="str">
        <v>IVA</v>
      </c>
    </row>
    <row r="30">
      <c r="E30" t="str">
        <v>TOTAL</v>
      </c>
      <c r="F30">
        <f>F28</f>
        <v>29914.95</v>
      </c>
    </row>
    <row r="32">
      <c r="D32" t="str">
        <v>PAGARÉ</v>
      </c>
      <c r="E32" t="str">
        <v>BUENO POR:</v>
      </c>
      <c r="F32">
        <f>F30</f>
        <v>29914.95</v>
      </c>
    </row>
    <row r="33">
      <c r="B33" t="str">
        <f>"En "&amp;E5&amp;TEXT(E3," dd ""de"" mmmm")&amp;" del "&amp;F3</f>
        <v>En Cuerámaro, Guanajuato 03 de octubre del 2025</v>
      </c>
    </row>
    <row r="34">
      <c r="A34" t="str">
        <v>Debo y pagaré incondicionalmente por este pagaré a la orden de Francisco Javier Pantoja Rangel</v>
      </c>
    </row>
    <row r="35">
      <c r="A35" t="str">
        <f>"en Cuerámaro, Guanajuato el "&amp;TEXT(E7,"dd ""de"" mmmm  ""del"" aaaa")</f>
        <v>en Cuerámaro, Guanajuato el 06 de octubre  del lunes</v>
      </c>
    </row>
    <row r="36">
      <c r="A36" t="str">
        <f t="array" ref="A36">"La Cantidad  de: " &amp;TEXT(F32,"$ ###,##0.00")&amp;"("&amp;cMoneda(F32)&amp;")"</f>
        <v>#NAME?</v>
      </c>
    </row>
    <row r="37">
      <c r="A37" t="str">
        <v>Valor recibido a mi entera satisfacción. Este pagaré es mercantil y está regido por la ley general de títulos y operaciones</v>
      </c>
    </row>
    <row r="38">
      <c r="A38" t="str">
        <v xml:space="preserve">de crédito en sus artículos 170 , 171, 172 y demás relativos, y todos están sujetos a la condición de que, </v>
      </c>
    </row>
    <row r="39">
      <c r="A39" t="str">
        <v>al no pagarse cualquiera de ellos a su vencimiento, serán exigibles todos los que les sigan en número,</v>
      </c>
    </row>
    <row r="40">
      <c r="A40" t="str">
        <v xml:space="preserve"> además de ya vencidos,  desde la fecha de vencimiento de este documento hasta el día de su liquidación, </v>
      </c>
    </row>
    <row r="41">
      <c r="A41" t="str">
        <v>causara intereses moratorios al tipo de 3 % mensual, pagadero en este ciudad juntamente con el principal.</v>
      </c>
    </row>
    <row r="43">
      <c r="A43" t="str">
        <v>Nombre:</v>
      </c>
      <c r="B43" t="str">
        <f>B10</f>
        <v>Cristina Patricio Maria</v>
      </c>
    </row>
    <row r="44">
      <c r="A44" t="str">
        <v>Domicilio:</v>
      </c>
      <c r="B44" t="str">
        <f>B11</f>
        <v>C Peñasco De Manzanares 507, Col Parque Manzanares, León, Guanajuato</v>
      </c>
    </row>
    <row r="45">
      <c r="A45" t="str">
        <v>Ciudad:</v>
      </c>
      <c r="B45" t="str">
        <v>León, Guanajuato, México</v>
      </c>
    </row>
    <row r="46">
      <c r="D46" t="str">
        <v>Nombre y Firma ________________________________________________________</v>
      </c>
    </row>
    <row r="47">
      <c r="D47" t="str">
        <v>Acepto y pagaré a su vencimiento</v>
      </c>
    </row>
    <row r="49">
      <c r="A49" t="str">
        <f>"Este pagaré se suscribe en la ciudad de Cuerámaro, Guanajuato el día " &amp;DAY(E3) &amp; " del mes de "&amp;TEXT(E3,"mmmm") &amp;" del año "&amp;F3</f>
        <v>Este pagaré se suscribe en la ciudad de Cuerámaro, Guanajuato el día 3 del mes de octubre del año 2025</v>
      </c>
    </row>
  </sheetData>
  <mergeCells count="32">
    <mergeCell ref="C1:D1"/>
    <mergeCell ref="E1:F1"/>
    <mergeCell ref="C2:D2"/>
    <mergeCell ref="C3:D3"/>
    <mergeCell ref="C4:D4"/>
    <mergeCell ref="E4:F4"/>
    <mergeCell ref="E5:F5"/>
    <mergeCell ref="E6:F6"/>
    <mergeCell ref="E7:F7"/>
    <mergeCell ref="A8:D8"/>
    <mergeCell ref="E8:F8"/>
    <mergeCell ref="B9:D9"/>
    <mergeCell ref="E9:F9"/>
    <mergeCell ref="E10:F10"/>
    <mergeCell ref="B10:D10"/>
    <mergeCell ref="B11:D11"/>
    <mergeCell ref="E11:F11"/>
    <mergeCell ref="B12:D12"/>
    <mergeCell ref="E12:F12"/>
    <mergeCell ref="B13:D13"/>
    <mergeCell ref="E13:F13"/>
    <mergeCell ref="B44:F44"/>
    <mergeCell ref="B45:F45"/>
    <mergeCell ref="D46:F46"/>
    <mergeCell ref="D47:F47"/>
    <mergeCell ref="B14:D14"/>
    <mergeCell ref="E14:F14"/>
    <mergeCell ref="B15:D15"/>
    <mergeCell ref="E15:F15"/>
    <mergeCell ref="C28:C29"/>
    <mergeCell ref="D28:D29"/>
    <mergeCell ref="B43:F43"/>
  </mergeCells>
  <pageMargins left="0.25" right="0.25" top="0.2671875" bottom="0.178125" header="0" footer="0"/>
  <ignoredErrors>
    <ignoredError numberStoredAsText="1" sqref="A1:F1000"/>
  </ignoredErrors>
</worksheet>
</file>

<file path=xl/worksheets/sheet3.xml><?xml version="1.0" encoding="utf-8"?>
<worksheet xmlns="http://schemas.openxmlformats.org/spreadsheetml/2006/main" xmlns:r="http://schemas.openxmlformats.org/officeDocument/2006/relationships">
  <dimension ref="A1:F1000"/>
  <sheetViews>
    <sheetView workbookViewId="0" rightToLeft="0"/>
  </sheetViews>
  <sheetData>
    <row r="1">
      <c r="C1" t="str">
        <v>CARNICERÍA CUERÁMARO PRIME</v>
      </c>
      <c r="E1" t="str">
        <v>NOTA DE VENTA</v>
      </c>
    </row>
    <row r="2">
      <c r="C2" t="str">
        <v>CUERÁMARO, GUANAJUATO, MÉXICO</v>
      </c>
      <c r="E2" t="str">
        <v>FECHA</v>
      </c>
      <c r="F2" t="str">
        <v>AÑO</v>
      </c>
    </row>
    <row r="3">
      <c r="C3" t="str">
        <v>Colonia Cueramaro Centro</v>
      </c>
    </row>
    <row r="4">
      <c r="C4" t="str">
        <v>CP: 36960</v>
      </c>
      <c r="E4" t="str">
        <v>EXPEDIDA EN:</v>
      </c>
    </row>
    <row r="5">
      <c r="E5" t="str">
        <v>Cuerámaro, Guanajuato</v>
      </c>
    </row>
    <row r="6">
      <c r="E6" t="str">
        <v>FECHA DE VENCIMIENTO</v>
      </c>
    </row>
    <row r="7">
      <c r="E7" t="str">
        <v>08 de noviembre de 2025</v>
      </c>
    </row>
    <row r="8">
      <c r="A8" t="str">
        <v>DATOS DEL CLIENTE</v>
      </c>
      <c r="E8" t="str">
        <v>METODO DE PAGO</v>
      </c>
    </row>
    <row r="9">
      <c r="A9" t="str">
        <v>CODIGO:</v>
      </c>
      <c r="E9" t="str">
        <v>Crédito</v>
      </c>
    </row>
    <row r="10">
      <c r="A10" t="str">
        <v>NOMBRE:</v>
      </c>
      <c r="B10" t="str">
        <v>Alejandra Cano</v>
      </c>
      <c r="E10" t="str">
        <v>PLAZO DE PAGO</v>
      </c>
    </row>
    <row r="11">
      <c r="A11" t="str">
        <v>DIRECCIÓN:</v>
      </c>
      <c r="E11" t="str">
        <v>0 días</v>
      </c>
    </row>
    <row r="12">
      <c r="A12" t="str">
        <v>C.P.:</v>
      </c>
      <c r="E12" t="str">
        <v>MONEDA</v>
      </c>
    </row>
    <row r="13">
      <c r="A13" t="str">
        <v>R.F.C.:</v>
      </c>
      <c r="E13" t="str">
        <v>M.N. MXN</v>
      </c>
    </row>
    <row r="14">
      <c r="A14" t="str">
        <v>TEL / CEL.:</v>
      </c>
      <c r="B14" t="str">
        <v>462-555-1031</v>
      </c>
      <c r="E14" t="str">
        <v>VENDEDOR:</v>
      </c>
    </row>
    <row r="15" xml:space="preserve">
      <c r="A15" t="str" xml:space="preserve">
        <v xml:space="preserve">DIRECCIÓN 
DE ENTREGA:</v>
      </c>
      <c r="E15" t="str">
        <v>Admin</v>
      </c>
    </row>
    <row r="17">
      <c r="A17" t="str">
        <v>CANTIDAD</v>
      </c>
      <c r="B17" t="str">
        <v>CODIGO</v>
      </c>
      <c r="C17" t="str">
        <v>U.M.</v>
      </c>
      <c r="D17" t="str">
        <v>DESCRIPCIÓN</v>
      </c>
      <c r="E17" t="str">
        <v>PRECIO</v>
      </c>
      <c r="F17" t="str">
        <v>IMPORTE</v>
      </c>
    </row>
    <row r="18">
      <c r="A18">
        <v>1</v>
      </c>
      <c r="B18" t="str">
        <v>PO-200</v>
      </c>
      <c r="C18" t="str">
        <v>kg</v>
      </c>
      <c r="D18" t="str">
        <v>Pechuga de Pollo</v>
      </c>
      <c r="E18">
        <v>98</v>
      </c>
      <c r="F18">
        <v>98</v>
      </c>
    </row>
    <row r="28">
      <c r="C28" t="str">
        <v>IMPORTE CON LETRA:</v>
      </c>
      <c r="D28" t="str">
        <f t="array" ref="D28">cMoneda(F30)</f>
        <v>#NAME?</v>
      </c>
      <c r="E28" t="str">
        <v>SUBTOTAL</v>
      </c>
      <c r="F28">
        <v>98</v>
      </c>
    </row>
    <row r="29">
      <c r="E29" t="str">
        <v>IVA</v>
      </c>
    </row>
    <row r="30">
      <c r="E30" t="str">
        <v>TOTAL</v>
      </c>
      <c r="F30">
        <v>98</v>
      </c>
    </row>
    <row r="32">
      <c r="D32" t="str">
        <v>PAGARÉ</v>
      </c>
      <c r="E32" t="str">
        <v>BUENO POR:</v>
      </c>
      <c r="F32">
        <v>98</v>
      </c>
    </row>
    <row r="33">
      <c r="B33" t="str">
        <v>En Cuerámaro, Guanajuato 31 de octubre de 2025</v>
      </c>
    </row>
    <row r="34">
      <c r="A34" t="str">
        <v>Debo y pagaré incondicionalmente por este pagaré a la orden de Francisco Javier Pantoja Rangel</v>
      </c>
    </row>
    <row r="35">
      <c r="A35" t="str">
        <v>en Cuerámaro, Guanajuato el 08 de noviembre de 2025</v>
      </c>
    </row>
    <row r="36">
      <c r="A36" t="str">
        <v>La Cantidad  de: $98.00</v>
      </c>
    </row>
    <row r="37">
      <c r="A37" t="str">
        <v>Valor recibido a mi entera satisfacción. Este pagaré es mercantil y está regido por la ley general de títulos y operaciones</v>
      </c>
    </row>
    <row r="38">
      <c r="A38" t="str">
        <v xml:space="preserve">de crédito en sus artículos 170 , 171, 172 y demás relativos, y todos están sujetos a la condición de que, </v>
      </c>
    </row>
    <row r="39">
      <c r="A39" t="str">
        <v>al no pagarse cualquiera de ellos a su vencimiento, serán exigibles todos los que les sigan en número,</v>
      </c>
    </row>
    <row r="40">
      <c r="A40" t="str">
        <v xml:space="preserve"> además de ya vencidos,  desde la fecha de vencimiento de este documento hasta el día de su liquidación, </v>
      </c>
    </row>
    <row r="41">
      <c r="A41" t="str">
        <v>causara intereses moratorios al tipo de 3 % mensual, pagadero en este ciudad juntamente con el principal.</v>
      </c>
    </row>
    <row r="43">
      <c r="A43" t="str">
        <v>Nombre:</v>
      </c>
      <c r="B43" t="str">
        <v>Alejandra Cano</v>
      </c>
    </row>
    <row r="44">
      <c r="A44" t="str">
        <v>Domicilio:</v>
      </c>
      <c r="B44" t="str">
        <f>B11</f>
        <v/>
      </c>
    </row>
    <row r="45">
      <c r="A45" t="str">
        <v>Ciudad:</v>
      </c>
      <c r="B45" t="str">
        <v>Cuerámaro, Guanajuato</v>
      </c>
    </row>
    <row r="46">
      <c r="D46" t="str">
        <v>Nombre y Firma ________________________________________________________</v>
      </c>
    </row>
    <row r="47">
      <c r="D47" t="str">
        <v>Acepto y pagaré a su vencimiento</v>
      </c>
    </row>
    <row r="49">
      <c r="A49" t="str">
        <f>"Este pagaré se suscribe en la ciudad de Cuerámaro, Guanajuato el día " &amp;DAY(E3) &amp; " del mes de "&amp;TEXT(E3,"mmmm") &amp;" del año "&amp;F3</f>
        <v xml:space="preserve">Este pagaré se suscribe en la ciudad de Cuerámaro, Guanajuato el día 30 del mes de diciembre del año </v>
      </c>
    </row>
  </sheetData>
  <mergeCells count="32">
    <mergeCell ref="C1:D1"/>
    <mergeCell ref="E1:F1"/>
    <mergeCell ref="C2:D2"/>
    <mergeCell ref="C3:D3"/>
    <mergeCell ref="C4:D4"/>
    <mergeCell ref="E4:F4"/>
    <mergeCell ref="E5:F5"/>
    <mergeCell ref="E6:F6"/>
    <mergeCell ref="E7:F7"/>
    <mergeCell ref="A8:D8"/>
    <mergeCell ref="E8:F8"/>
    <mergeCell ref="B9:D9"/>
    <mergeCell ref="E9:F9"/>
    <mergeCell ref="E10:F10"/>
    <mergeCell ref="B10:D10"/>
    <mergeCell ref="B11:D11"/>
    <mergeCell ref="E11:F11"/>
    <mergeCell ref="B12:D12"/>
    <mergeCell ref="E12:F12"/>
    <mergeCell ref="B13:D13"/>
    <mergeCell ref="E13:F13"/>
    <mergeCell ref="B44:F44"/>
    <mergeCell ref="B45:F45"/>
    <mergeCell ref="D46:F46"/>
    <mergeCell ref="D47:F47"/>
    <mergeCell ref="B14:D14"/>
    <mergeCell ref="E14:F14"/>
    <mergeCell ref="B15:D15"/>
    <mergeCell ref="E15:F15"/>
    <mergeCell ref="C28:C29"/>
    <mergeCell ref="D28:D29"/>
    <mergeCell ref="B43:F43"/>
  </mergeCells>
  <pageMargins left="0.25" right="0.25" top="0.2671875" bottom="0.178125" header="0" footer="0"/>
  <ignoredErrors>
    <ignoredError numberStoredAsText="1" sqref="A1:F1000"/>
  </ignoredErrors>
</worksheet>
</file>

<file path=xl/worksheets/sheet4.xml><?xml version="1.0" encoding="utf-8"?>
<worksheet xmlns="http://schemas.openxmlformats.org/spreadsheetml/2006/main" xmlns:r="http://schemas.openxmlformats.org/officeDocument/2006/relationships">
  <dimension ref="A1"/>
  <sheetViews>
    <sheetView workbookViewId="0" rightToLeft="0"/>
  </sheetViews>
  <sheetData/>
  <pageMargins left="0.7" right="0.7" top="0.75" bottom="0.75" header="0" footer="0"/>
  <ignoredErrors>
    <ignoredError numberStoredAsText="1" sqref="A1"/>
  </ignoredErrors>
</worksheet>
</file>

<file path=xl/worksheets/sheet5.xml><?xml version="1.0" encoding="utf-8"?>
<worksheet xmlns="http://schemas.openxmlformats.org/spreadsheetml/2006/main" xmlns:r="http://schemas.openxmlformats.org/officeDocument/2006/relationships">
  <dimension ref="A1"/>
  <sheetViews>
    <sheetView workbookViewId="0" rightToLeft="0"/>
  </sheetViews>
  <sheetData/>
  <pageMargins left="0.7" right="0.7" top="0.75" bottom="0.75" header="0" footer="0"/>
  <ignoredErrors>
    <ignoredError numberStoredAsText="1" sqref="A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SheetJS</Application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Ilse T.N.Q.N</vt:lpstr>
      <vt:lpstr>Cristina T.N.Q.N</vt:lpstr>
      <vt:lpstr>Formato</vt:lpstr>
      <vt:lpstr>Hoja2</vt:lpstr>
      <vt:lpstr>Hoja3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2025-08-19T01:54:35Z</dcterms:created>
  <dc:creator>Ever</dc:creator>
</cp:coreProperties>
</file>